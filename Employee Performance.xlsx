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extended-properties+xml" PartName="/docProps/app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mployee Performance" sheetId="1" r:id="rId4"/>
    <sheet state="visible" name="Store Sales" sheetId="2" r:id="rId5"/>
  </sheets>
  <definedNames/>
  <calcPr/>
</workbook>
</file>

<file path=xl/sharedStrings.xml><?xml version="1.0" encoding="utf-8"?>
<sst xmlns="http://schemas.openxmlformats.org/spreadsheetml/2006/main" count="196" uniqueCount="107">
  <si>
    <t>Employee ID</t>
  </si>
  <si>
    <t>Employee Name</t>
  </si>
  <si>
    <t>Department</t>
  </si>
  <si>
    <t>Monthly Sales</t>
  </si>
  <si>
    <t>Attendance %</t>
  </si>
  <si>
    <t>Customer Rating</t>
  </si>
  <si>
    <t>Years of Service</t>
  </si>
  <si>
    <t xml:space="preserve">Performance status </t>
  </si>
  <si>
    <t>Bonus Eligibility</t>
  </si>
  <si>
    <t>Special Recognition</t>
  </si>
  <si>
    <t>Performance Grade</t>
  </si>
  <si>
    <t>E001</t>
  </si>
  <si>
    <t>Ada Okoro</t>
  </si>
  <si>
    <t>Sales</t>
  </si>
  <si>
    <t>E002</t>
  </si>
  <si>
    <t>Daniel James</t>
  </si>
  <si>
    <t>E003</t>
  </si>
  <si>
    <t>Mercy David</t>
  </si>
  <si>
    <t>Marketing</t>
  </si>
  <si>
    <t>E004</t>
  </si>
  <si>
    <t>John Peter</t>
  </si>
  <si>
    <t>E005</t>
  </si>
  <si>
    <t>Grace Brown</t>
  </si>
  <si>
    <t>HR</t>
  </si>
  <si>
    <t>E006</t>
  </si>
  <si>
    <t>Michael John</t>
  </si>
  <si>
    <t>E007</t>
  </si>
  <si>
    <t>Esther Paul</t>
  </si>
  <si>
    <t>E008</t>
  </si>
  <si>
    <t>Samuel King</t>
  </si>
  <si>
    <t>Finance</t>
  </si>
  <si>
    <t>E009</t>
  </si>
  <si>
    <t>Favour James</t>
  </si>
  <si>
    <t>E010</t>
  </si>
  <si>
    <t>David Cole</t>
  </si>
  <si>
    <t>E011</t>
  </si>
  <si>
    <t>Anita George</t>
  </si>
  <si>
    <t>E012</t>
  </si>
  <si>
    <t>Peter Adams</t>
  </si>
  <si>
    <t>E013</t>
  </si>
  <si>
    <t>Sharon Obi</t>
  </si>
  <si>
    <t>E014</t>
  </si>
  <si>
    <t>Kelvin Mark</t>
  </si>
  <si>
    <t>E015</t>
  </si>
  <si>
    <t>Blessing Eze</t>
  </si>
  <si>
    <t>Order ID</t>
  </si>
  <si>
    <t>Salesperson</t>
  </si>
  <si>
    <t>Region</t>
  </si>
  <si>
    <t>Product</t>
  </si>
  <si>
    <t>Category</t>
  </si>
  <si>
    <t>Units Sold</t>
  </si>
  <si>
    <t>Sales Amount</t>
  </si>
  <si>
    <t>Payment Status</t>
  </si>
  <si>
    <t>O001</t>
  </si>
  <si>
    <t>Ada</t>
  </si>
  <si>
    <t>South</t>
  </si>
  <si>
    <t>Laptop</t>
  </si>
  <si>
    <t>Electronics</t>
  </si>
  <si>
    <t>Paid</t>
  </si>
  <si>
    <t>Order by south</t>
  </si>
  <si>
    <t>O002</t>
  </si>
  <si>
    <t>John</t>
  </si>
  <si>
    <t>West</t>
  </si>
  <si>
    <t>Phone</t>
  </si>
  <si>
    <t>Paid status</t>
  </si>
  <si>
    <t>O003</t>
  </si>
  <si>
    <t>Mercy</t>
  </si>
  <si>
    <t>Printer</t>
  </si>
  <si>
    <t>Office</t>
  </si>
  <si>
    <t>Pending</t>
  </si>
  <si>
    <t>Order for Electronics</t>
  </si>
  <si>
    <t>O004</t>
  </si>
  <si>
    <t>David</t>
  </si>
  <si>
    <t>East</t>
  </si>
  <si>
    <t>Total South Sales</t>
  </si>
  <si>
    <t>O005</t>
  </si>
  <si>
    <t>Grace</t>
  </si>
  <si>
    <t>Desk</t>
  </si>
  <si>
    <t>Furniture</t>
  </si>
  <si>
    <t>Total Electronics Sales</t>
  </si>
  <si>
    <t>O006</t>
  </si>
  <si>
    <t>Peter</t>
  </si>
  <si>
    <t>Total Sales By Ada</t>
  </si>
  <si>
    <t>O007</t>
  </si>
  <si>
    <t>Anita</t>
  </si>
  <si>
    <t>Chair</t>
  </si>
  <si>
    <t>Paid Order In South</t>
  </si>
  <si>
    <t>O008</t>
  </si>
  <si>
    <t>Samuel</t>
  </si>
  <si>
    <t>Electronics Oder in West</t>
  </si>
  <si>
    <t>O009</t>
  </si>
  <si>
    <t>Favour</t>
  </si>
  <si>
    <t>Sales Greater Than 500000</t>
  </si>
  <si>
    <t>O010</t>
  </si>
  <si>
    <t>Total Sales Paid in South</t>
  </si>
  <si>
    <t>O011</t>
  </si>
  <si>
    <t>Total Electronics In South</t>
  </si>
  <si>
    <t>O012</t>
  </si>
  <si>
    <t>Total Sales By  Ada From Paid</t>
  </si>
  <si>
    <t>O013</t>
  </si>
  <si>
    <t>O014</t>
  </si>
  <si>
    <t>O015</t>
  </si>
  <si>
    <t>O016</t>
  </si>
  <si>
    <t>O017</t>
  </si>
  <si>
    <t>O018</t>
  </si>
  <si>
    <t>O019</t>
  </si>
  <si>
    <t>O020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</si>
</sst>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1.0"/>
      <color rgb="FF000000"/>
      <name val="Arial"/>
      <scheme val="minor"/>
    </font>
    <font>
      <b/>
      <sz val="11.0"/>
      <name val="Calibri"/>
    </font>
  </fonts>
  <fills count="2">
    <fill>
      <patternFill patternType="none"/>
    </fill>
    <fill>
      <patternFill patternType="lightGray"/>
    </fill>
  </fills>
  <borders count="3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2" fillId="0" fontId="1" numFmtId="0" xfId="0" applyAlignment="1" applyBorder="1" applyFont="1">
      <alignment horizontal="center" vertical="top"/>
    </xf>
    <xf borderId="0" fillId="0" fontId="1" numFmtId="0" xfId="0" applyAlignment="1" applyFont="1">
      <alignment horizontal="center" vertical="top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cap="flat" cmpd="sng" w="9525" algn="ctr">
          <a:solidFill>
            <a:schemeClr val="phClr">
              <a:shade val="95000"/>
              <a:satMod val="105000"/>
            </a:schemeClr>
          </a:solidFill>
          <a:prstDash val="solid"/>
        </a:ln>
        <a:ln cap="flat" cmpd="sng" w="25400" algn="ctr">
          <a:solidFill>
            <a:schemeClr val="phClr"/>
          </a:solidFill>
          <a:prstDash val="solid"/>
        </a:ln>
        <a:ln cap="flat" cmpd="sng" w="38100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rotWithShape="0" dir="5400000" dist="20000">
              <a:srgbClr val="000000">
                <a:alpha val="38000"/>
              </a:srgbClr>
            </a:outerShdw>
          </a:effectLst>
        </a:effectStyle>
        <a:effectStyle>
          <a:effectLst>
            <a:outerShdw blurRad="40000" rotWithShape="0" dir="5400000" dist="23000">
              <a:srgbClr val="000000">
                <a:alpha val="35000"/>
              </a:srgbClr>
            </a:outerShdw>
          </a:effectLst>
        </a:effectStyle>
        <a:effectStyle>
          <a:effectLst>
            <a:outerShdw blurRad="40000" rotWithShape="0" dir="5400000" dist="2300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dir="t" rig="threePt">
              <a:rot lat="0" lon="0" rev="1200000"/>
            </a:lightRig>
          </a:scene3d>
          <a:sp3d>
            <a:bevelT h="25400" w="635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b="180000" l="50000" r="50000" t="-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b="50000" l="50000" r="50000" t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2.14"/>
    <col customWidth="1" min="2" max="2" width="15.71"/>
    <col customWidth="1" min="3" max="3" width="11.71"/>
    <col customWidth="1" min="4" max="4" width="13.71"/>
    <col customWidth="1" min="5" max="5" width="13.43"/>
    <col customWidth="1" min="6" max="6" width="15.71"/>
    <col customWidth="1" min="7" max="7" width="15.14"/>
    <col customWidth="1" min="8" max="8" width="18.86"/>
    <col customWidth="1" min="9" max="9" width="15.29"/>
    <col customWidth="1" min="10" max="11" width="18.57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2" t="s">
        <v>8</v>
      </c>
      <c r="J1" s="2" t="s">
        <v>9</v>
      </c>
      <c r="K1" s="2" t="s">
        <v>10</v>
      </c>
    </row>
    <row r="2">
      <c r="A2" t="s">
        <v>11</v>
      </c>
      <c r="B2" t="s">
        <v>12</v>
      </c>
      <c r="C2" t="s">
        <v>13</v>
      </c>
      <c r="D2">
        <v>850000.0</v>
      </c>
      <c r="E2">
        <v>96.0</v>
      </c>
      <c r="F2">
        <v>4.8</v>
      </c>
      <c r="G2">
        <v>5.0</v>
      </c>
      <c r="H2" t="str">
        <f t="shared" ref="H2:H16" si="1">IF(AND(D2&gt;=700000,E2&gt;=95),"Excellent","Standard")</f>
        <v>Excellent</v>
      </c>
      <c r="I2" t="str">
        <f t="shared" ref="I2:I16" si="2">IF(AND(D2&gt;=600000,F2&gt;=4.5),"Eligible","Not Eligible")</f>
        <v>Eligible</v>
      </c>
      <c r="J2" t="str">
        <f t="shared" ref="J2:J16" si="3">IF(OR(D2&gt;=800000,F2&gt;=4.8),"Yes","No")</f>
        <v>Yes</v>
      </c>
      <c r="K2" t="str">
        <f t="shared" ref="K2:K16" si="4">IF(D2&gt;=800000,"A", IF(D2&gt;=600000,"B", IF(D2&gt;=400000,"C",IF(D2&lt;=400000,"D"))))</f>
        <v>A</v>
      </c>
    </row>
    <row r="3">
      <c r="A3" t="s">
        <v>14</v>
      </c>
      <c r="B3" t="s">
        <v>15</v>
      </c>
      <c r="C3" t="s">
        <v>13</v>
      </c>
      <c r="D3">
        <v>620000.0</v>
      </c>
      <c r="E3">
        <v>89.0</v>
      </c>
      <c r="F3">
        <v>4.1</v>
      </c>
      <c r="G3">
        <v>3.0</v>
      </c>
      <c r="H3" t="str">
        <f t="shared" si="1"/>
        <v>Standard</v>
      </c>
      <c r="I3" t="str">
        <f t="shared" si="2"/>
        <v>Not Eligible</v>
      </c>
      <c r="J3" t="str">
        <f t="shared" si="3"/>
        <v>No</v>
      </c>
      <c r="K3" t="str">
        <f t="shared" si="4"/>
        <v>B</v>
      </c>
    </row>
    <row r="4">
      <c r="A4" t="s">
        <v>16</v>
      </c>
      <c r="B4" t="s">
        <v>17</v>
      </c>
      <c r="C4" t="s">
        <v>18</v>
      </c>
      <c r="D4">
        <v>450000.0</v>
      </c>
      <c r="E4">
        <v>94.0</v>
      </c>
      <c r="F4">
        <v>4.5</v>
      </c>
      <c r="G4">
        <v>4.0</v>
      </c>
      <c r="H4" t="str">
        <f t="shared" si="1"/>
        <v>Standard</v>
      </c>
      <c r="I4" t="str">
        <f t="shared" si="2"/>
        <v>Not Eligible</v>
      </c>
      <c r="J4" t="str">
        <f t="shared" si="3"/>
        <v>No</v>
      </c>
      <c r="K4" t="str">
        <f t="shared" si="4"/>
        <v>C</v>
      </c>
    </row>
    <row r="5">
      <c r="A5" t="s">
        <v>19</v>
      </c>
      <c r="B5" t="s">
        <v>20</v>
      </c>
      <c r="C5" t="s">
        <v>13</v>
      </c>
      <c r="D5">
        <v>920000.0</v>
      </c>
      <c r="E5">
        <v>98.0</v>
      </c>
      <c r="F5">
        <v>4.9</v>
      </c>
      <c r="G5">
        <v>7.0</v>
      </c>
      <c r="H5" t="str">
        <f t="shared" si="1"/>
        <v>Excellent</v>
      </c>
      <c r="I5" t="str">
        <f t="shared" si="2"/>
        <v>Eligible</v>
      </c>
      <c r="J5" t="str">
        <f t="shared" si="3"/>
        <v>Yes</v>
      </c>
      <c r="K5" t="str">
        <f t="shared" si="4"/>
        <v>A</v>
      </c>
    </row>
    <row r="6">
      <c r="A6" t="s">
        <v>21</v>
      </c>
      <c r="B6" t="s">
        <v>22</v>
      </c>
      <c r="C6" t="s">
        <v>23</v>
      </c>
      <c r="D6">
        <v>380000.0</v>
      </c>
      <c r="E6">
        <v>91.0</v>
      </c>
      <c r="F6">
        <v>4.0</v>
      </c>
      <c r="G6">
        <v>2.0</v>
      </c>
      <c r="H6" t="str">
        <f t="shared" si="1"/>
        <v>Standard</v>
      </c>
      <c r="I6" t="str">
        <f t="shared" si="2"/>
        <v>Not Eligible</v>
      </c>
      <c r="J6" t="str">
        <f t="shared" si="3"/>
        <v>No</v>
      </c>
      <c r="K6" t="str">
        <f t="shared" si="4"/>
        <v>D</v>
      </c>
    </row>
    <row r="7">
      <c r="A7" t="s">
        <v>24</v>
      </c>
      <c r="B7" t="s">
        <v>25</v>
      </c>
      <c r="C7" t="s">
        <v>18</v>
      </c>
      <c r="D7">
        <v>710000.0</v>
      </c>
      <c r="E7">
        <v>86.0</v>
      </c>
      <c r="F7">
        <v>4.3</v>
      </c>
      <c r="G7">
        <v>6.0</v>
      </c>
      <c r="H7" t="str">
        <f t="shared" si="1"/>
        <v>Standard</v>
      </c>
      <c r="I7" t="str">
        <f t="shared" si="2"/>
        <v>Not Eligible</v>
      </c>
      <c r="J7" t="str">
        <f t="shared" si="3"/>
        <v>No</v>
      </c>
      <c r="K7" t="str">
        <f t="shared" si="4"/>
        <v>B</v>
      </c>
    </row>
    <row r="8">
      <c r="A8" t="s">
        <v>26</v>
      </c>
      <c r="B8" t="s">
        <v>27</v>
      </c>
      <c r="C8" t="s">
        <v>13</v>
      </c>
      <c r="D8">
        <v>550000.0</v>
      </c>
      <c r="E8">
        <v>97.0</v>
      </c>
      <c r="F8">
        <v>4.7</v>
      </c>
      <c r="G8">
        <v>4.0</v>
      </c>
      <c r="H8" t="str">
        <f t="shared" si="1"/>
        <v>Standard</v>
      </c>
      <c r="I8" t="str">
        <f t="shared" si="2"/>
        <v>Not Eligible</v>
      </c>
      <c r="J8" t="str">
        <f t="shared" si="3"/>
        <v>No</v>
      </c>
      <c r="K8" t="str">
        <f t="shared" si="4"/>
        <v>C</v>
      </c>
    </row>
    <row r="9">
      <c r="A9" t="s">
        <v>28</v>
      </c>
      <c r="B9" t="s">
        <v>29</v>
      </c>
      <c r="C9" t="s">
        <v>30</v>
      </c>
      <c r="D9">
        <v>480000.0</v>
      </c>
      <c r="E9">
        <v>88.0</v>
      </c>
      <c r="F9">
        <v>3.9</v>
      </c>
      <c r="G9">
        <v>3.0</v>
      </c>
      <c r="H9" t="str">
        <f t="shared" si="1"/>
        <v>Standard</v>
      </c>
      <c r="I9" t="str">
        <f t="shared" si="2"/>
        <v>Not Eligible</v>
      </c>
      <c r="J9" t="str">
        <f t="shared" si="3"/>
        <v>No</v>
      </c>
      <c r="K9" t="str">
        <f t="shared" si="4"/>
        <v>C</v>
      </c>
    </row>
    <row r="10">
      <c r="A10" t="s">
        <v>31</v>
      </c>
      <c r="B10" t="s">
        <v>32</v>
      </c>
      <c r="C10" t="s">
        <v>18</v>
      </c>
      <c r="D10">
        <v>800000.0</v>
      </c>
      <c r="E10">
        <v>95.0</v>
      </c>
      <c r="F10">
        <v>4.6</v>
      </c>
      <c r="G10">
        <v>5.0</v>
      </c>
      <c r="H10" t="str">
        <f t="shared" si="1"/>
        <v>Excellent</v>
      </c>
      <c r="I10" t="str">
        <f t="shared" si="2"/>
        <v>Eligible</v>
      </c>
      <c r="J10" t="str">
        <f t="shared" si="3"/>
        <v>Yes</v>
      </c>
      <c r="K10" t="str">
        <f t="shared" si="4"/>
        <v>A</v>
      </c>
    </row>
    <row r="11">
      <c r="A11" t="s">
        <v>33</v>
      </c>
      <c r="B11" t="s">
        <v>34</v>
      </c>
      <c r="C11" t="s">
        <v>13</v>
      </c>
      <c r="D11">
        <v>690000.0</v>
      </c>
      <c r="E11">
        <v>93.0</v>
      </c>
      <c r="F11">
        <v>4.2</v>
      </c>
      <c r="G11">
        <v>2.0</v>
      </c>
      <c r="H11" t="str">
        <f t="shared" si="1"/>
        <v>Standard</v>
      </c>
      <c r="I11" t="str">
        <f t="shared" si="2"/>
        <v>Not Eligible</v>
      </c>
      <c r="J11" t="str">
        <f t="shared" si="3"/>
        <v>No</v>
      </c>
      <c r="K11" t="str">
        <f t="shared" si="4"/>
        <v>B</v>
      </c>
    </row>
    <row r="12">
      <c r="A12" t="s">
        <v>35</v>
      </c>
      <c r="B12" t="s">
        <v>36</v>
      </c>
      <c r="C12" t="s">
        <v>23</v>
      </c>
      <c r="D12">
        <v>420000.0</v>
      </c>
      <c r="E12">
        <v>96.0</v>
      </c>
      <c r="F12">
        <v>4.4</v>
      </c>
      <c r="G12">
        <v>6.0</v>
      </c>
      <c r="H12" t="str">
        <f t="shared" si="1"/>
        <v>Standard</v>
      </c>
      <c r="I12" t="str">
        <f t="shared" si="2"/>
        <v>Not Eligible</v>
      </c>
      <c r="J12" t="str">
        <f t="shared" si="3"/>
        <v>No</v>
      </c>
      <c r="K12" t="str">
        <f t="shared" si="4"/>
        <v>C</v>
      </c>
    </row>
    <row r="13">
      <c r="A13" t="s">
        <v>37</v>
      </c>
      <c r="B13" t="s">
        <v>38</v>
      </c>
      <c r="C13" t="s">
        <v>30</v>
      </c>
      <c r="D13">
        <v>760000.0</v>
      </c>
      <c r="E13">
        <v>90.0</v>
      </c>
      <c r="F13">
        <v>4.8</v>
      </c>
      <c r="G13">
        <v>8.0</v>
      </c>
      <c r="H13" t="str">
        <f t="shared" si="1"/>
        <v>Standard</v>
      </c>
      <c r="I13" t="str">
        <f t="shared" si="2"/>
        <v>Eligible</v>
      </c>
      <c r="J13" t="str">
        <f t="shared" si="3"/>
        <v>Yes</v>
      </c>
      <c r="K13" t="str">
        <f t="shared" si="4"/>
        <v>B</v>
      </c>
    </row>
    <row r="14">
      <c r="A14" t="s">
        <v>39</v>
      </c>
      <c r="B14" t="s">
        <v>40</v>
      </c>
      <c r="C14" t="s">
        <v>13</v>
      </c>
      <c r="D14">
        <v>510000.0</v>
      </c>
      <c r="E14">
        <v>85.0</v>
      </c>
      <c r="F14">
        <v>4.0</v>
      </c>
      <c r="G14">
        <v>1.0</v>
      </c>
      <c r="H14" t="str">
        <f t="shared" si="1"/>
        <v>Standard</v>
      </c>
      <c r="I14" t="str">
        <f t="shared" si="2"/>
        <v>Not Eligible</v>
      </c>
      <c r="J14" t="str">
        <f t="shared" si="3"/>
        <v>No</v>
      </c>
      <c r="K14" t="str">
        <f t="shared" si="4"/>
        <v>C</v>
      </c>
    </row>
    <row r="15">
      <c r="A15" t="s">
        <v>41</v>
      </c>
      <c r="B15" t="s">
        <v>42</v>
      </c>
      <c r="C15" t="s">
        <v>18</v>
      </c>
      <c r="D15">
        <v>880000.0</v>
      </c>
      <c r="E15">
        <v>97.0</v>
      </c>
      <c r="F15">
        <v>4.9</v>
      </c>
      <c r="G15">
        <v>9.0</v>
      </c>
      <c r="H15" t="str">
        <f t="shared" si="1"/>
        <v>Excellent</v>
      </c>
      <c r="I15" t="str">
        <f t="shared" si="2"/>
        <v>Eligible</v>
      </c>
      <c r="J15" t="str">
        <f t="shared" si="3"/>
        <v>Yes</v>
      </c>
      <c r="K15" t="str">
        <f t="shared" si="4"/>
        <v>A</v>
      </c>
    </row>
    <row r="16">
      <c r="A16" t="s">
        <v>43</v>
      </c>
      <c r="B16" t="s">
        <v>44</v>
      </c>
      <c r="C16" t="s">
        <v>30</v>
      </c>
      <c r="D16">
        <v>600000.0</v>
      </c>
      <c r="E16">
        <v>92.0</v>
      </c>
      <c r="F16">
        <v>4.5</v>
      </c>
      <c r="G16">
        <v>4.0</v>
      </c>
      <c r="H16" t="str">
        <f t="shared" si="1"/>
        <v>Standard</v>
      </c>
      <c r="I16" t="str">
        <f t="shared" si="2"/>
        <v>Eligible</v>
      </c>
      <c r="J16" t="str">
        <f t="shared" si="3"/>
        <v>No</v>
      </c>
      <c r="K16" t="str">
        <f t="shared" si="4"/>
        <v>B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43"/>
    <col customWidth="1" min="2" max="2" width="11.71"/>
    <col customWidth="1" min="3" max="3" width="7.14"/>
    <col customWidth="1" min="4" max="4" width="8.71"/>
    <col customWidth="1" min="5" max="5" width="10.57"/>
    <col customWidth="1" min="6" max="6" width="10.0"/>
    <col customWidth="1" min="7" max="7" width="13.29"/>
    <col customWidth="1" min="8" max="9" width="14.86"/>
    <col customWidth="1" min="10" max="10" width="27.14"/>
    <col customWidth="1" min="11" max="11" width="8.71"/>
  </cols>
  <sheetData>
    <row r="1">
      <c r="A1" s="1" t="s">
        <v>45</v>
      </c>
      <c r="B1" s="1" t="s">
        <v>46</v>
      </c>
      <c r="C1" s="1" t="s">
        <v>47</v>
      </c>
      <c r="D1" s="1" t="s">
        <v>48</v>
      </c>
      <c r="E1" s="1" t="s">
        <v>49</v>
      </c>
      <c r="F1" s="1" t="s">
        <v>50</v>
      </c>
      <c r="G1" s="1" t="s">
        <v>51</v>
      </c>
      <c r="H1" s="1" t="s">
        <v>52</v>
      </c>
      <c r="I1" s="3"/>
    </row>
    <row r="2">
      <c r="A2" t="s">
        <v>53</v>
      </c>
      <c r="B2" t="s">
        <v>54</v>
      </c>
      <c r="C2" t="s">
        <v>55</v>
      </c>
      <c r="D2" t="s">
        <v>56</v>
      </c>
      <c r="E2" t="s">
        <v>57</v>
      </c>
      <c r="F2">
        <v>5.0</v>
      </c>
      <c r="G2">
        <v>750000.0</v>
      </c>
      <c r="H2" t="s">
        <v>58</v>
      </c>
      <c r="I2">
        <v>1.0</v>
      </c>
      <c r="J2" t="s">
        <v>59</v>
      </c>
      <c r="K2" t="str">
        <f>COUNTIF(C2:C21,C2)</f>
        <v>9</v>
      </c>
    </row>
    <row r="3">
      <c r="A3" t="s">
        <v>60</v>
      </c>
      <c r="B3" t="s">
        <v>61</v>
      </c>
      <c r="C3" t="s">
        <v>62</v>
      </c>
      <c r="D3" t="s">
        <v>63</v>
      </c>
      <c r="E3" t="s">
        <v>57</v>
      </c>
      <c r="F3">
        <v>8.0</v>
      </c>
      <c r="G3">
        <v>480000.0</v>
      </c>
      <c r="H3" t="s">
        <v>58</v>
      </c>
      <c r="I3">
        <v>2.0</v>
      </c>
      <c r="J3" t="s">
        <v>64</v>
      </c>
      <c r="K3" t="str">
        <f>COUNTIF(H2:H21,H2)</f>
        <v>13</v>
      </c>
    </row>
    <row r="4">
      <c r="A4" t="s">
        <v>65</v>
      </c>
      <c r="B4" t="s">
        <v>66</v>
      </c>
      <c r="C4" t="s">
        <v>55</v>
      </c>
      <c r="D4" t="s">
        <v>67</v>
      </c>
      <c r="E4" t="s">
        <v>68</v>
      </c>
      <c r="F4">
        <v>4.0</v>
      </c>
      <c r="G4">
        <v>220000.0</v>
      </c>
      <c r="H4" t="s">
        <v>69</v>
      </c>
      <c r="I4">
        <v>3.0</v>
      </c>
      <c r="J4" t="s">
        <v>70</v>
      </c>
      <c r="K4" t="str">
        <f>COUNTIF(E2:E21,E2)</f>
        <v>11</v>
      </c>
    </row>
    <row r="5">
      <c r="A5" t="s">
        <v>71</v>
      </c>
      <c r="B5" t="s">
        <v>72</v>
      </c>
      <c r="C5" t="s">
        <v>73</v>
      </c>
      <c r="D5" t="s">
        <v>56</v>
      </c>
      <c r="E5" t="s">
        <v>57</v>
      </c>
      <c r="F5">
        <v>3.0</v>
      </c>
      <c r="G5">
        <v>450000.0</v>
      </c>
      <c r="H5" t="s">
        <v>58</v>
      </c>
      <c r="I5">
        <v>4.0</v>
      </c>
      <c r="J5" t="s">
        <v>74</v>
      </c>
      <c r="K5" t="str">
        <f>SUMIF(C2:C21,C2,G2:G21)</f>
        <v>4215000</v>
      </c>
    </row>
    <row r="6">
      <c r="A6" t="s">
        <v>75</v>
      </c>
      <c r="B6" t="s">
        <v>76</v>
      </c>
      <c r="C6" t="s">
        <v>55</v>
      </c>
      <c r="D6" t="s">
        <v>77</v>
      </c>
      <c r="E6" t="s">
        <v>78</v>
      </c>
      <c r="F6">
        <v>6.0</v>
      </c>
      <c r="G6">
        <v>300000.0</v>
      </c>
      <c r="H6" t="s">
        <v>58</v>
      </c>
      <c r="I6">
        <v>5.0</v>
      </c>
      <c r="J6" t="s">
        <v>79</v>
      </c>
      <c r="K6" t="str">
        <f>SUMIF(E2:E21,E2,G2:G21)</f>
        <v>6450000</v>
      </c>
    </row>
    <row r="7">
      <c r="A7" t="s">
        <v>80</v>
      </c>
      <c r="B7" t="s">
        <v>81</v>
      </c>
      <c r="C7" t="s">
        <v>62</v>
      </c>
      <c r="D7" t="s">
        <v>63</v>
      </c>
      <c r="E7" t="s">
        <v>57</v>
      </c>
      <c r="F7">
        <v>10.0</v>
      </c>
      <c r="G7">
        <v>600000.0</v>
      </c>
      <c r="H7" t="s">
        <v>69</v>
      </c>
      <c r="I7">
        <v>6.0</v>
      </c>
      <c r="J7" t="s">
        <v>82</v>
      </c>
      <c r="K7" t="str">
        <f>SUMIF(B2:B21,B2,G2:G21)</f>
        <v>1335000</v>
      </c>
    </row>
    <row r="8">
      <c r="A8" t="s">
        <v>83</v>
      </c>
      <c r="B8" t="s">
        <v>84</v>
      </c>
      <c r="C8" t="s">
        <v>55</v>
      </c>
      <c r="D8" t="s">
        <v>85</v>
      </c>
      <c r="E8" t="s">
        <v>78</v>
      </c>
      <c r="F8">
        <v>8.0</v>
      </c>
      <c r="G8">
        <v>240000.0</v>
      </c>
      <c r="H8" t="s">
        <v>58</v>
      </c>
      <c r="I8">
        <v>7.0</v>
      </c>
      <c r="J8" t="s">
        <v>86</v>
      </c>
      <c r="K8" t="str">
        <f>COUNTIFS(H2:H21,H2,C2:C21,C2)</f>
        <v>8</v>
      </c>
    </row>
    <row r="9">
      <c r="A9" t="s">
        <v>87</v>
      </c>
      <c r="B9" t="s">
        <v>88</v>
      </c>
      <c r="C9" t="s">
        <v>73</v>
      </c>
      <c r="D9" t="s">
        <v>67</v>
      </c>
      <c r="E9" t="s">
        <v>68</v>
      </c>
      <c r="F9">
        <v>5.0</v>
      </c>
      <c r="G9">
        <v>275000.0</v>
      </c>
      <c r="H9" t="s">
        <v>69</v>
      </c>
      <c r="I9">
        <v>8.0</v>
      </c>
      <c r="J9" t="s">
        <v>89</v>
      </c>
      <c r="K9" t="str">
        <f>COUNTIFS(E2:E21,E2,C2:C21,C3)</f>
        <v>4</v>
      </c>
    </row>
    <row r="10">
      <c r="A10" t="s">
        <v>90</v>
      </c>
      <c r="B10" t="s">
        <v>91</v>
      </c>
      <c r="C10" t="s">
        <v>62</v>
      </c>
      <c r="D10" t="s">
        <v>56</v>
      </c>
      <c r="E10" t="s">
        <v>57</v>
      </c>
      <c r="F10">
        <v>4.0</v>
      </c>
      <c r="G10">
        <v>600000.0</v>
      </c>
      <c r="H10" t="s">
        <v>58</v>
      </c>
      <c r="I10">
        <v>9.0</v>
      </c>
      <c r="J10" t="s">
        <v>92</v>
      </c>
      <c r="K10" t="str">
        <f>COUNTIF(G2:G21, "&gt;500000")</f>
        <v>7</v>
      </c>
    </row>
    <row r="11">
      <c r="A11" t="s">
        <v>93</v>
      </c>
      <c r="B11" t="s">
        <v>54</v>
      </c>
      <c r="C11" t="s">
        <v>55</v>
      </c>
      <c r="D11" t="s">
        <v>63</v>
      </c>
      <c r="E11" t="s">
        <v>57</v>
      </c>
      <c r="F11">
        <v>7.0</v>
      </c>
      <c r="G11">
        <v>420000.0</v>
      </c>
      <c r="H11" t="s">
        <v>58</v>
      </c>
      <c r="I11">
        <v>10.0</v>
      </c>
      <c r="J11" t="s">
        <v>94</v>
      </c>
      <c r="K11" t="str">
        <f>SUMIFS(G2:G21,H2:H21,H2,C2:C21,C2)</f>
        <v>3995000</v>
      </c>
    </row>
    <row r="12">
      <c r="A12" t="s">
        <v>95</v>
      </c>
      <c r="B12" t="s">
        <v>61</v>
      </c>
      <c r="C12" t="s">
        <v>73</v>
      </c>
      <c r="D12" t="s">
        <v>77</v>
      </c>
      <c r="E12" t="s">
        <v>78</v>
      </c>
      <c r="F12">
        <v>5.0</v>
      </c>
      <c r="G12">
        <v>250000.0</v>
      </c>
      <c r="H12" t="s">
        <v>69</v>
      </c>
      <c r="I12">
        <v>11.0</v>
      </c>
      <c r="J12" t="s">
        <v>96</v>
      </c>
      <c r="K12" t="str">
        <f>SUMIFS(G2:G21,E2:E21,E2,C2:C21,C21)</f>
        <v>2670000</v>
      </c>
    </row>
    <row r="13">
      <c r="A13" t="s">
        <v>97</v>
      </c>
      <c r="B13" t="s">
        <v>66</v>
      </c>
      <c r="C13" t="s">
        <v>55</v>
      </c>
      <c r="D13" t="s">
        <v>56</v>
      </c>
      <c r="E13" t="s">
        <v>57</v>
      </c>
      <c r="F13">
        <v>6.0</v>
      </c>
      <c r="G13">
        <v>900000.0</v>
      </c>
      <c r="H13" t="s">
        <v>58</v>
      </c>
      <c r="I13">
        <v>12.0</v>
      </c>
      <c r="J13" t="s">
        <v>98</v>
      </c>
      <c r="K13" t="str">
        <f>SUMIFS(G2:G21,B2:B21,B2,H2:H21,H2)</f>
        <v>1170000</v>
      </c>
    </row>
    <row r="14">
      <c r="A14" t="s">
        <v>99</v>
      </c>
      <c r="B14" t="s">
        <v>72</v>
      </c>
      <c r="C14" t="s">
        <v>62</v>
      </c>
      <c r="D14" t="s">
        <v>85</v>
      </c>
      <c r="E14" t="s">
        <v>78</v>
      </c>
      <c r="F14">
        <v>10.0</v>
      </c>
      <c r="G14">
        <v>300000.0</v>
      </c>
      <c r="H14" t="s">
        <v>58</v>
      </c>
    </row>
    <row r="15">
      <c r="A15" t="s">
        <v>100</v>
      </c>
      <c r="B15" t="s">
        <v>76</v>
      </c>
      <c r="C15" t="s">
        <v>73</v>
      </c>
      <c r="D15" t="s">
        <v>63</v>
      </c>
      <c r="E15" t="s">
        <v>57</v>
      </c>
      <c r="F15">
        <v>6.0</v>
      </c>
      <c r="G15">
        <v>360000.0</v>
      </c>
      <c r="H15" t="s">
        <v>69</v>
      </c>
    </row>
    <row r="16">
      <c r="A16" t="s">
        <v>101</v>
      </c>
      <c r="B16" t="s">
        <v>81</v>
      </c>
      <c r="C16" t="s">
        <v>55</v>
      </c>
      <c r="D16" t="s">
        <v>67</v>
      </c>
      <c r="E16" t="s">
        <v>68</v>
      </c>
      <c r="F16">
        <v>7.0</v>
      </c>
      <c r="G16">
        <v>385000.0</v>
      </c>
      <c r="H16" t="s">
        <v>58</v>
      </c>
    </row>
    <row r="17">
      <c r="A17" t="s">
        <v>102</v>
      </c>
      <c r="B17" t="s">
        <v>84</v>
      </c>
      <c r="C17" t="s">
        <v>62</v>
      </c>
      <c r="D17" t="s">
        <v>56</v>
      </c>
      <c r="E17" t="s">
        <v>57</v>
      </c>
      <c r="F17">
        <v>5.0</v>
      </c>
      <c r="G17">
        <v>750000.0</v>
      </c>
      <c r="H17" t="s">
        <v>69</v>
      </c>
    </row>
    <row r="18">
      <c r="A18" t="s">
        <v>103</v>
      </c>
      <c r="B18" t="s">
        <v>88</v>
      </c>
      <c r="C18" t="s">
        <v>55</v>
      </c>
      <c r="D18" t="s">
        <v>77</v>
      </c>
      <c r="E18" t="s">
        <v>78</v>
      </c>
      <c r="F18">
        <v>8.0</v>
      </c>
      <c r="G18">
        <v>400000.0</v>
      </c>
      <c r="H18" t="s">
        <v>58</v>
      </c>
    </row>
    <row r="19">
      <c r="A19" t="s">
        <v>104</v>
      </c>
      <c r="B19" t="s">
        <v>91</v>
      </c>
      <c r="C19" t="s">
        <v>73</v>
      </c>
      <c r="D19" t="s">
        <v>63</v>
      </c>
      <c r="E19" t="s">
        <v>57</v>
      </c>
      <c r="F19">
        <v>9.0</v>
      </c>
      <c r="G19">
        <v>540000.0</v>
      </c>
      <c r="H19" t="s">
        <v>58</v>
      </c>
    </row>
    <row r="20">
      <c r="A20" t="s">
        <v>105</v>
      </c>
      <c r="B20" t="s">
        <v>54</v>
      </c>
      <c r="C20" t="s">
        <v>62</v>
      </c>
      <c r="D20" t="s">
        <v>67</v>
      </c>
      <c r="E20" t="s">
        <v>68</v>
      </c>
      <c r="F20">
        <v>3.0</v>
      </c>
      <c r="G20">
        <v>165000.0</v>
      </c>
      <c r="H20" t="s">
        <v>69</v>
      </c>
    </row>
    <row r="21" ht="15.75" customHeight="1">
      <c r="A21" t="s">
        <v>106</v>
      </c>
      <c r="B21" t="s">
        <v>61</v>
      </c>
      <c r="C21" t="s">
        <v>55</v>
      </c>
      <c r="D21" t="s">
        <v>56</v>
      </c>
      <c r="E21" t="s">
        <v>57</v>
      </c>
      <c r="F21">
        <v>4.0</v>
      </c>
      <c r="G21">
        <v>600000.0</v>
      </c>
      <c r="H21" t="s">
        <v>58</v>
      </c>
    </row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printOptions/>
  <pageMargins bottom="1.0" footer="0.0" header="0.0" left="0.75" right="0.75" top="1.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ScaleCrop>false</ScaleCrop>
  <HeadingPairs>
    <vt:vector baseType="variant" size="2">
      <vt:variant>
        <vt:lpstr>Worksheets</vt:lpstr>
      </vt:variant>
      <vt:variant>
        <vt:i4>2</vt:i4>
      </vt:variant>
    </vt:vector>
  </HeadingPairs>
  <TitlesOfParts>
    <vt:vector baseType="lpstr" size="2">
      <vt:lpstr>Employee Performance</vt:lpstr>
      <vt:lpstr>Store Sales</vt:lpstr>
    </vt:vector>
  </TitlesOfParts>
  <LinksUpToDate>false</LinksUpToDate>
  <SharedDoc>false</SharedDoc>
  <HyperlinksChanged>false</HyperlinksChanged>
  <Application>Microsoft Excel</Application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2026-08-28T15:19:57Z</dcterms:created>
  <dc:creator>openpyxl</dc:creator>
  <cp:lastModifiedBy>xpert</cp:lastModifiedBy>
  <dcterms:modified xsi:type="dcterms:W3CDTF">2026-08-29T21:50:54Z</dcterms:modified>
</cp:coreProperties>
</file>